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DARKENSES\Documents\GitHub\BitBucket\"/>
    </mc:Choice>
  </mc:AlternateContent>
  <bookViews>
    <workbookView xWindow="0" yWindow="0" windowWidth="20490" windowHeight="7620" tabRatio="792" activeTab="1"/>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<sst xmlns="http://schemas.openxmlformats.org/spreadsheetml/2006/main" count="242" uniqueCount="146">
  <si>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</si>
  <si>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</si>
  <si>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</si>
  <si>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</si>
  <si>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</si>
  <si>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</si>
  <si>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</si>
  <si>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</si>
  <si>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</si>
  <si>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</si>
  <si>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</si>
  <si>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</si>
  <si>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</si>
  <si>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</si>
  <si>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</si>
  <si>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</si>
  <si>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</si>
  <si>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</si>
  <si>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</si>
  <si>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</si>
  <si>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</si>
  <si>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</si>
  <si>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</si>
  <si>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</si>
  <si>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</si>
  <si>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</si>
  <si>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</si>
  <si>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</si>
  <si>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</si>
  <si>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</si>
  <si>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</si>
  <si>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</si>
  <si>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</si>
  <si>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</si>
  <si>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</si>
  <si>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</si>
  <si>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</si>
  <si>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</si>
  <si>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</si>
  <si>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</si>
  <si>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</si>
  <si>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</si>
  <si>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</si>
  <si>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</si>
  <si>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</si>
  <si>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</si>
  <si>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</si>
  <si>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</si>
  <si>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</si>
  <si>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</si>
  <si>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</si>
  <si>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</si>
  <si>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</si>
  <si>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</si>
  <si>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</si>
  <si>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</si>
  <si>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</si>
  <si>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</si>
  <si>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Planeación del sistema</t>
  </si>
  <si>
    <t>Elaboraciòn del modelo de dominio</t>
  </si>
  <si>
    <t>Diseño de modelo de dominio</t>
  </si>
  <si>
    <t>Mejoras al modelo del dominio</t>
  </si>
  <si>
    <t>Revisión a los modelos en general</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</si>
  <si>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</si>
  <si>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</si>
  <si>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</si>
  <si>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</si>
  <si>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</si>
  <si>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</si>
  <si>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</si>
  <si>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</si>
  <si>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</si>
  <si>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</si>
  <si>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</si>
  <si>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</si>
  <si>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</si>
  <si>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</si>
  <si>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</si>
  <si>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</si>
  <si>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</si>
  <si>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</si>
  <si>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</si>
  <si>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</si>
  <si>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</si>
  <si>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</si>
  <si>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</si>
  <si>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</si>
  <si>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</si>
  <si>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</si>
  <si>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</si>
  <si>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</si>
  <si>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</si>
  <si>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</si>
  <si>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</si>
  <si>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</si>
  <si>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</si>
  <si>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</si>
  <si>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</si>
  <si>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</si>
  <si>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</si>
  <si>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</si>
  <si>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</si>
  <si>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</si>
  <si>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</si>
  <si>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</si>
  <si>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</si>
  <si>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</si>
  <si>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</si>
  <si>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</si>
  <si>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</si>
  <si>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</si>
  <si>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</si>
  <si>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</si>
  <si>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</si>
  <si>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</si>
  <si>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</si>
  <si>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</si>
  <si>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</si>
  <si>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</si>
  <si>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</si>
  <si>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</si>
  <si>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Revisión de los modelos</t>
  </si>
  <si>
    <t>Creción de diagramas</t>
  </si>
  <si>
    <t>Corrección de CRC</t>
  </si>
  <si>
    <t>Creación de CRC</t>
  </si>
  <si>
    <t>Revisión modelo entidad relación</t>
  </si>
  <si>
    <t>Corrección de modelo de clases</t>
  </si>
  <si>
    <t>Patrones de diseño</t>
  </si>
  <si>
    <t>Implementación de patrón</t>
  </si>
  <si>
    <t>Correciones al patrón</t>
  </si>
  <si>
    <t>Creacion bases de datos</t>
  </si>
  <si>
    <t>Adaptación DAO</t>
  </si>
  <si>
    <t>patrones de diseño</t>
  </si>
  <si>
    <t>Patrón  adapter</t>
  </si>
  <si>
    <t>Contrucción BD</t>
  </si>
  <si>
    <t>Contruccion itemDAO</t>
  </si>
  <si>
    <t>Pruebas unitarias</t>
  </si>
  <si>
    <t>Correciones y desarrollo de pruebas</t>
  </si>
  <si>
    <t>Investigación sobre iText, JavaFX y otro frameworks</t>
  </si>
  <si>
    <t>Planeación del edt</t>
  </si>
  <si>
    <t>Trabajo con modelos de casos de uso</t>
  </si>
  <si>
    <t>Escritura en EDT</t>
  </si>
  <si>
    <t>Luis Fernando Gomez Alejandre</t>
  </si>
  <si>
    <t>Alessandra</t>
  </si>
  <si>
    <t>Hector Limón</t>
  </si>
  <si>
    <t>6 de Febrero de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</si>
</sst>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9">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1" fillId="0" borderId="0" xfId="1" applyFont="1" applyProtection="1"/>
    <xf numFmtId="0" fontId="22" fillId="1" borderId="2" xfId="1" applyFont="1" applyFill="1" applyBorder="1" applyProtection="1">
      <protection locked="0"/>
    </xf>
    <xf numFmtId="1" fontId="20"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5" borderId="0" xfId="6" applyNumberFormat="1" applyFont="1" applyFill="1" applyProtection="1">
      <protection locked="0"/>
    </xf>
    <xf numFmtId="0" fontId="2" fillId="5" borderId="0" xfId="0" applyFont="1" applyFill="1" applyProtection="1">
      <protection locked="0"/>
    </xf>
    <xf numFmtId="164" fontId="2" fillId="5" borderId="0" xfId="6" applyNumberFormat="1" applyFont="1" applyFill="1" applyProtection="1">
      <protection locked="0"/>
    </xf>
    <xf numFmtId="21" fontId="2" fillId="5" borderId="0" xfId="6" applyNumberFormat="1" applyFont="1" applyFill="1" applyProtection="1">
      <protection locked="0"/>
    </xf>
    <xf numFmtId="166" fontId="2" fillId="5" borderId="0" xfId="6" applyNumberFormat="1" applyFont="1" applyFill="1" applyProtection="1">
      <protection locked="0"/>
    </xf>
    <xf numFmtId="21" fontId="2" fillId="5" borderId="0" xfId="8" applyNumberFormat="1" applyFont="1" applyFill="1" applyProtection="1">
      <protection locked="0"/>
    </xf>
    <xf numFmtId="166" fontId="2" fillId="5" borderId="0" xfId="8" applyNumberFormat="1" applyFont="1" applyFill="1" applyProtection="1">
      <protection locked="0"/>
    </xf>
    <xf numFmtId="166" fontId="20" fillId="5" borderId="0" xfId="8" applyNumberFormat="1" applyFont="1" applyFill="1" applyProtection="1">
      <protection locked="0"/>
    </xf>
    <xf numFmtId="0" fontId="2" fillId="5" borderId="0" xfId="8"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tabSelected="1" workbookViewId="0">
      <selection activeCell="D6" sqref="D6"/>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142</v>
      </c>
      <c r="E4" s="39"/>
      <c r="I4" s="33" t="s">
        <v>26</v>
      </c>
      <c r="K4" s="66" t="s">
        <v>145</v>
      </c>
    </row>
    <row r="5" spans="1:18">
      <c r="C5" s="33" t="s">
        <v>27</v>
      </c>
      <c r="D5" s="39" t="s">
        <v>143</v>
      </c>
      <c r="E5" s="39"/>
      <c r="I5" s="33" t="s">
        <v>28</v>
      </c>
      <c r="K5" s="73">
        <v>1</v>
      </c>
    </row>
    <row r="6" spans="1:18">
      <c r="C6" s="33" t="s">
        <v>29</v>
      </c>
      <c r="D6" s="66" t="s">
        <v>144</v>
      </c>
      <c r="E6" s="39"/>
      <c r="I6" s="33" t="s">
        <v>30</v>
      </c>
      <c r="K6" s="50" t="s">
        <v>31</v>
      </c>
    </row>
    <row r="7" spans="1:18">
      <c r="R7" s="72"/>
    </row>
    <row r="8" spans="1:18">
      <c r="E8" s="40" t="s">
        <v>32</v>
      </c>
      <c r="G8" s="41" t="s">
        <v>33</v>
      </c>
      <c r="I8" s="41" t="s">
        <v>34</v>
      </c>
      <c r="K8" s="41" t="s">
        <v>35</v>
      </c>
      <c r="M8" s="41" t="s">
        <v>36</v>
      </c>
      <c r="O8" s="41" t="s">
        <v>37</v>
      </c>
    </row>
    <row r="9" spans="1:18">
      <c r="C9" s="41" t="s">
        <v>38</v>
      </c>
      <c r="E9" s="42"/>
      <c r="F9" s="42"/>
    </row>
    <row r="10" spans="1:18">
      <c r="B10" s="43" t="s">
        <v>39</v>
      </c>
      <c r="C10" s="44" t="s">
        <v>40</v>
      </c>
      <c r="E10" s="42"/>
      <c r="F10" s="42"/>
      <c r="G10" s="45">
        <v>800</v>
      </c>
      <c r="H10" s="42"/>
      <c r="I10" s="45"/>
      <c r="J10" s="42"/>
      <c r="K10" s="45"/>
      <c r="L10" s="51"/>
      <c r="M10" s="45"/>
      <c r="O10" s="52">
        <f>SUM(G10:M10)</f>
        <v>800</v>
      </c>
    </row>
    <row r="11" spans="1:18">
      <c r="B11" s="43" t="s">
        <v>39</v>
      </c>
      <c r="C11" s="44" t="s">
        <v>41</v>
      </c>
      <c r="E11" s="42"/>
      <c r="F11" s="42"/>
      <c r="G11" s="45"/>
      <c r="H11" s="42"/>
      <c r="I11" s="45">
        <v>1200</v>
      </c>
      <c r="J11" s="42"/>
      <c r="K11" s="45"/>
      <c r="L11" s="51"/>
      <c r="M11" s="45"/>
      <c r="O11" s="52">
        <f t="shared" ref="O11:O18" si="0">SUM(G11:M11)</f>
        <v>1200</v>
      </c>
    </row>
    <row r="12" spans="1:18">
      <c r="C12" s="46" t="s">
        <v>42</v>
      </c>
      <c r="E12" s="42"/>
      <c r="F12" s="42"/>
      <c r="G12" s="45"/>
      <c r="H12" s="42"/>
      <c r="I12" s="45">
        <v>300</v>
      </c>
      <c r="J12" s="42"/>
      <c r="K12" s="45">
        <v>1200</v>
      </c>
      <c r="L12" s="51"/>
      <c r="M12" s="45"/>
      <c r="O12" s="52">
        <f t="shared" si="0"/>
        <v>1500</v>
      </c>
    </row>
    <row r="13" spans="1:18">
      <c r="B13" s="43" t="s">
        <v>39</v>
      </c>
      <c r="C13" s="44" t="s">
        <v>43</v>
      </c>
      <c r="E13" s="42"/>
      <c r="F13" s="42"/>
      <c r="G13" s="45"/>
      <c r="H13" s="42"/>
      <c r="I13" s="45">
        <v>500</v>
      </c>
      <c r="J13" s="42"/>
      <c r="K13" s="45">
        <v>500</v>
      </c>
      <c r="L13" s="51"/>
      <c r="M13" s="45"/>
      <c r="O13" s="52">
        <f t="shared" si="0"/>
        <v>1000</v>
      </c>
    </row>
    <row r="14" spans="1:18">
      <c r="C14" s="46" t="s">
        <v>44</v>
      </c>
      <c r="E14" s="42"/>
      <c r="F14" s="42"/>
      <c r="G14" s="45"/>
      <c r="H14" s="42"/>
      <c r="I14" s="45"/>
      <c r="J14" s="42"/>
      <c r="K14" s="45"/>
      <c r="L14" s="51"/>
      <c r="M14" s="45"/>
      <c r="O14" s="52">
        <f t="shared" si="0"/>
        <v>0</v>
      </c>
    </row>
    <row r="15" spans="1:18">
      <c r="C15" s="46" t="s">
        <v>45</v>
      </c>
      <c r="E15" s="42"/>
      <c r="F15" s="42"/>
      <c r="G15" s="45"/>
      <c r="H15" s="42"/>
      <c r="I15" s="45"/>
      <c r="J15" s="42"/>
      <c r="K15" s="45"/>
      <c r="L15" s="51"/>
      <c r="M15" s="45"/>
      <c r="O15" s="52">
        <f t="shared" si="0"/>
        <v>0</v>
      </c>
    </row>
    <row r="16" spans="1:18">
      <c r="B16" s="43" t="s">
        <v>39</v>
      </c>
      <c r="C16" s="44" t="s">
        <v>46</v>
      </c>
      <c r="E16" s="42"/>
      <c r="F16" s="42"/>
      <c r="G16" s="45">
        <v>300</v>
      </c>
      <c r="H16" s="42"/>
      <c r="I16" s="45">
        <v>300</v>
      </c>
      <c r="J16" s="42"/>
      <c r="K16" s="45">
        <v>300</v>
      </c>
      <c r="L16" s="51"/>
      <c r="M16" s="45"/>
      <c r="O16" s="52">
        <f t="shared" si="0"/>
        <v>900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1100</v>
      </c>
      <c r="H19" s="42"/>
      <c r="I19" s="47">
        <f t="shared" si="1"/>
        <v>2300</v>
      </c>
      <c r="J19" s="42"/>
      <c r="K19" s="47">
        <f t="shared" si="1"/>
        <v>2000</v>
      </c>
      <c r="L19" s="53"/>
      <c r="M19" s="47">
        <f>SUM(M10:M18)</f>
        <v>0</v>
      </c>
      <c r="O19" s="47">
        <f>SUM(O10:O18)</f>
        <v>5400</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zoomScale="130" zoomScaleNormal="130" workbookViewId="0">
      <pane ySplit="1" topLeftCell="A24" activePane="bottomLeft" state="frozenSplit"/>
      <selection pane="bottomLeft" activeCell="A28" sqref="A28"/>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74">
        <v>1</v>
      </c>
      <c r="B2" s="68" t="s">
        <v>40</v>
      </c>
      <c r="C2" s="25">
        <v>42470</v>
      </c>
      <c r="D2" s="70">
        <v>0.91666666666666663</v>
      </c>
      <c r="E2" s="26">
        <v>20</v>
      </c>
      <c r="F2" s="69">
        <v>0.95833333333333337</v>
      </c>
      <c r="G2" s="15">
        <v>40.000000000000107</v>
      </c>
      <c r="H2" s="67" t="s">
        <v>58</v>
      </c>
    </row>
    <row r="3" spans="1:8">
      <c r="A3" s="23">
        <v>1</v>
      </c>
      <c r="B3" s="68" t="s">
        <v>41</v>
      </c>
      <c r="C3" s="25">
        <v>42500</v>
      </c>
      <c r="D3" s="69">
        <v>0.8125</v>
      </c>
      <c r="E3" s="26">
        <v>90</v>
      </c>
      <c r="F3" s="71">
        <v>0.95833333333333337</v>
      </c>
      <c r="G3" s="15">
        <v>120.00000000000006</v>
      </c>
      <c r="H3" s="67" t="s">
        <v>59</v>
      </c>
    </row>
    <row r="4" spans="1:8">
      <c r="A4" s="23">
        <v>1</v>
      </c>
      <c r="B4" s="68" t="s">
        <v>41</v>
      </c>
      <c r="C4" s="25">
        <v>42532</v>
      </c>
      <c r="D4" s="70">
        <v>0.99490740740740735</v>
      </c>
      <c r="E4" s="26">
        <v>85</v>
      </c>
      <c r="F4" s="71">
        <v>2.342592592592593E-2</v>
      </c>
      <c r="G4" s="15">
        <v>-43.933333333333202</v>
      </c>
      <c r="H4" s="67" t="s">
        <v>60</v>
      </c>
    </row>
    <row r="5" spans="1:8">
      <c r="A5" s="23">
        <v>1</v>
      </c>
      <c r="B5" s="68" t="s">
        <v>42</v>
      </c>
      <c r="C5" s="25">
        <v>42562</v>
      </c>
      <c r="D5" s="70">
        <v>0.35476851851851854</v>
      </c>
      <c r="E5" s="26">
        <v>120</v>
      </c>
      <c r="F5" s="71">
        <v>0.48125000000000001</v>
      </c>
      <c r="G5" s="15">
        <v>62.133333333333319</v>
      </c>
      <c r="H5" s="67" t="s">
        <v>61</v>
      </c>
    </row>
    <row r="6" spans="1:8">
      <c r="A6" s="23">
        <v>1</v>
      </c>
      <c r="B6" s="68" t="s">
        <v>42</v>
      </c>
      <c r="C6" s="25">
        <v>42593</v>
      </c>
      <c r="D6" s="69">
        <v>3.0659722222222224E-2</v>
      </c>
      <c r="E6" s="26">
        <v>5</v>
      </c>
      <c r="F6" s="71">
        <v>4.1747685185185186E-2</v>
      </c>
      <c r="G6" s="15">
        <v>10.966666666666667</v>
      </c>
      <c r="H6" s="67" t="s">
        <v>62</v>
      </c>
    </row>
    <row r="7" spans="1:8">
      <c r="A7" s="23">
        <v>1</v>
      </c>
      <c r="B7" s="68" t="s">
        <v>41</v>
      </c>
      <c r="C7" s="25">
        <v>42472</v>
      </c>
      <c r="D7" s="75">
        <v>0.4513888888888889</v>
      </c>
      <c r="E7" s="26">
        <v>25</v>
      </c>
      <c r="F7" s="76">
        <v>0.53865740740740742</v>
      </c>
      <c r="G7" s="15">
        <v>100.66666666666667</v>
      </c>
      <c r="H7" s="67" t="s">
        <v>121</v>
      </c>
    </row>
    <row r="8" spans="1:8">
      <c r="A8" s="23">
        <v>1</v>
      </c>
      <c r="B8" s="24" t="s">
        <v>42</v>
      </c>
      <c r="C8" s="25">
        <v>42717</v>
      </c>
      <c r="D8" s="75">
        <v>0.86458333333333337</v>
      </c>
      <c r="E8" s="26">
        <v>60</v>
      </c>
      <c r="F8" s="76">
        <v>2.0949074074074075E-2</v>
      </c>
      <c r="G8" s="15">
        <v>165.16666666666663</v>
      </c>
      <c r="H8" s="67" t="s">
        <v>122</v>
      </c>
    </row>
    <row r="9" spans="1:8">
      <c r="A9" s="79">
        <v>1</v>
      </c>
      <c r="B9" s="80" t="s">
        <v>42</v>
      </c>
      <c r="C9" s="81">
        <v>42478</v>
      </c>
      <c r="D9" s="82">
        <v>0.43341435185185184</v>
      </c>
      <c r="E9" s="83">
        <v>40</v>
      </c>
      <c r="F9" s="84">
        <v>0.51645833333333335</v>
      </c>
      <c r="G9" s="85">
        <v>79.583333333333371</v>
      </c>
      <c r="H9" s="86" t="s">
        <v>124</v>
      </c>
    </row>
    <row r="10" spans="1:8">
      <c r="A10" s="23">
        <v>1</v>
      </c>
      <c r="B10" s="24" t="s">
        <v>42</v>
      </c>
      <c r="C10" s="25">
        <v>42479</v>
      </c>
      <c r="D10" s="75">
        <v>0.70833333333333337</v>
      </c>
      <c r="E10" s="26">
        <v>25</v>
      </c>
      <c r="F10" s="28">
        <v>0.79166666666666663</v>
      </c>
      <c r="G10" s="15">
        <v>94.999999999999886</v>
      </c>
      <c r="H10" s="67" t="s">
        <v>126</v>
      </c>
    </row>
    <row r="11" spans="1:8">
      <c r="A11" s="23">
        <v>1</v>
      </c>
      <c r="B11" s="24" t="s">
        <v>42</v>
      </c>
      <c r="C11" s="25">
        <v>42480</v>
      </c>
      <c r="D11" s="77">
        <v>0.70833333333333337</v>
      </c>
      <c r="E11" s="26">
        <v>30</v>
      </c>
      <c r="F11" s="78">
        <v>0.79166666666666663</v>
      </c>
      <c r="G11" s="15">
        <v>89.999999999999886</v>
      </c>
      <c r="H11" s="15" t="s">
        <v>123</v>
      </c>
    </row>
    <row r="12" spans="1:8">
      <c r="A12" s="23">
        <v>1</v>
      </c>
      <c r="B12" s="24" t="s">
        <v>42</v>
      </c>
      <c r="C12" s="25">
        <v>42482</v>
      </c>
      <c r="D12" s="77">
        <v>0.70833333333333337</v>
      </c>
      <c r="E12" s="26">
        <v>20</v>
      </c>
      <c r="F12" s="77">
        <v>0.29166666666666669</v>
      </c>
      <c r="G12" s="15">
        <v>820</v>
      </c>
      <c r="H12" s="16" t="s">
        <v>125</v>
      </c>
    </row>
    <row r="13" spans="1:8">
      <c r="A13" s="79">
        <v>1</v>
      </c>
      <c r="B13" s="80" t="s">
        <v>42</v>
      </c>
      <c r="C13" s="81">
        <v>42515</v>
      </c>
      <c r="D13" s="88">
        <v>0.70833333333333337</v>
      </c>
      <c r="E13" s="83">
        <v>30</v>
      </c>
      <c r="F13" s="89">
        <v>0.79166666666666663</v>
      </c>
      <c r="G13" s="85">
        <v>89.999999999999886</v>
      </c>
      <c r="H13" s="87" t="s">
        <v>127</v>
      </c>
    </row>
    <row r="14" spans="1:8">
      <c r="A14" s="23">
        <v>1</v>
      </c>
      <c r="B14" s="24" t="s">
        <v>42</v>
      </c>
      <c r="C14" s="25">
        <v>42516</v>
      </c>
      <c r="D14" s="90">
        <v>0.70881944444444445</v>
      </c>
      <c r="E14" s="26">
        <v>35</v>
      </c>
      <c r="F14" s="91">
        <v>0.80395833333333344</v>
      </c>
      <c r="G14" s="15">
        <v>102.00000000000016</v>
      </c>
      <c r="H14" s="16" t="s">
        <v>128</v>
      </c>
    </row>
    <row r="15" spans="1:8">
      <c r="A15" s="23">
        <v>1</v>
      </c>
      <c r="B15" s="24" t="s">
        <v>42</v>
      </c>
      <c r="C15" s="25">
        <v>42487</v>
      </c>
      <c r="D15" s="90">
        <v>0.7212615740740741</v>
      </c>
      <c r="E15" s="26">
        <v>10</v>
      </c>
      <c r="F15" s="91">
        <v>0.79210648148148144</v>
      </c>
      <c r="G15" s="15">
        <v>92.016666666666566</v>
      </c>
      <c r="H15" s="15" t="s">
        <v>129</v>
      </c>
    </row>
    <row r="16" spans="1:8">
      <c r="A16" s="23">
        <v>1</v>
      </c>
      <c r="B16" s="24" t="s">
        <v>42</v>
      </c>
      <c r="C16" s="25">
        <v>42519</v>
      </c>
      <c r="D16" s="92">
        <v>0.92618055555555545</v>
      </c>
      <c r="E16" s="26">
        <v>20</v>
      </c>
      <c r="F16" s="93">
        <v>0.50967592592592592</v>
      </c>
      <c r="G16" s="15">
        <v>820.23333333333346</v>
      </c>
      <c r="H16" s="15" t="s">
        <v>130</v>
      </c>
    </row>
    <row r="17" spans="1:8">
      <c r="A17" s="23">
        <v>1</v>
      </c>
      <c r="B17" s="24" t="s">
        <v>42</v>
      </c>
      <c r="C17" s="25">
        <v>42523</v>
      </c>
      <c r="D17" s="94">
        <v>0.63164351851851852</v>
      </c>
      <c r="E17" s="26">
        <v>20</v>
      </c>
      <c r="F17" s="95">
        <v>0.71499999999999997</v>
      </c>
      <c r="G17" s="15">
        <v>100.03333333333329</v>
      </c>
      <c r="H17" s="15" t="s">
        <v>131</v>
      </c>
    </row>
    <row r="18" spans="1:8">
      <c r="A18" s="23">
        <v>1</v>
      </c>
      <c r="B18" s="24" t="s">
        <v>42</v>
      </c>
      <c r="C18" s="25">
        <v>42525</v>
      </c>
      <c r="D18" s="94">
        <v>0.63164351851851852</v>
      </c>
      <c r="E18" s="26">
        <v>10</v>
      </c>
      <c r="F18" s="95">
        <v>0.79833333333333334</v>
      </c>
      <c r="G18" s="15">
        <v>230.03333333333333</v>
      </c>
      <c r="H18" s="15" t="s">
        <v>133</v>
      </c>
    </row>
    <row r="19" spans="1:8">
      <c r="A19" s="79">
        <v>1</v>
      </c>
      <c r="B19" s="80" t="s">
        <v>42</v>
      </c>
      <c r="C19" s="81">
        <v>42528</v>
      </c>
      <c r="D19" s="88">
        <v>0.63164351851851852</v>
      </c>
      <c r="E19" s="83">
        <v>15</v>
      </c>
      <c r="F19" s="89">
        <v>0.79832175925925919</v>
      </c>
      <c r="G19" s="85">
        <v>225.01666666666657</v>
      </c>
      <c r="H19" s="85" t="s">
        <v>132</v>
      </c>
    </row>
    <row r="20" spans="1:8">
      <c r="A20" s="23">
        <v>1</v>
      </c>
      <c r="B20" s="68" t="s">
        <v>43</v>
      </c>
      <c r="C20" s="25">
        <v>42500</v>
      </c>
      <c r="D20" s="97">
        <v>0.38190972222222225</v>
      </c>
      <c r="E20" s="26">
        <v>30</v>
      </c>
      <c r="F20" s="98">
        <v>0.45836805555555554</v>
      </c>
      <c r="G20" s="15">
        <v>80.099999999999937</v>
      </c>
      <c r="H20" s="99" t="s">
        <v>134</v>
      </c>
    </row>
    <row r="21" spans="1:8">
      <c r="A21" s="23">
        <v>1</v>
      </c>
      <c r="B21" s="68" t="s">
        <v>43</v>
      </c>
      <c r="C21" s="25">
        <v>42501</v>
      </c>
      <c r="D21" s="96">
        <v>0.39613425925925921</v>
      </c>
      <c r="E21" s="26">
        <v>45</v>
      </c>
      <c r="F21" s="98">
        <v>0.50004629629629627</v>
      </c>
      <c r="G21" s="15">
        <v>104.63333333333335</v>
      </c>
      <c r="H21" s="67" t="s">
        <v>135</v>
      </c>
    </row>
    <row r="22" spans="1:8">
      <c r="A22" s="29">
        <v>1</v>
      </c>
      <c r="B22" s="24" t="s">
        <v>43</v>
      </c>
      <c r="C22" s="25">
        <v>42502</v>
      </c>
      <c r="D22" s="96">
        <v>0.38238425925925923</v>
      </c>
      <c r="E22" s="26">
        <v>20</v>
      </c>
      <c r="F22" s="98">
        <v>0.43755787037037036</v>
      </c>
      <c r="G22" s="15">
        <v>59.450000000000031</v>
      </c>
      <c r="H22" s="67" t="s">
        <v>136</v>
      </c>
    </row>
    <row r="23" spans="1:8">
      <c r="A23" s="29">
        <v>1</v>
      </c>
      <c r="B23" s="24" t="s">
        <v>43</v>
      </c>
      <c r="C23" s="25">
        <v>42503</v>
      </c>
      <c r="D23" s="97">
        <v>0.41710648148148149</v>
      </c>
      <c r="E23" s="26">
        <v>10</v>
      </c>
      <c r="F23" s="98">
        <v>0.47922453703703699</v>
      </c>
      <c r="G23" s="15">
        <v>79.449999999999918</v>
      </c>
      <c r="H23" s="99" t="s">
        <v>137</v>
      </c>
    </row>
    <row r="24" spans="1:8">
      <c r="A24" s="100">
        <v>1</v>
      </c>
      <c r="B24" s="101" t="s">
        <v>47</v>
      </c>
      <c r="C24" s="81">
        <v>42773</v>
      </c>
      <c r="D24" s="102">
        <v>0.9375</v>
      </c>
      <c r="E24" s="83">
        <v>25</v>
      </c>
      <c r="F24" s="103">
        <v>0</v>
      </c>
      <c r="G24" s="85">
        <v>65</v>
      </c>
      <c r="H24" s="104" t="s">
        <v>138</v>
      </c>
    </row>
    <row r="25" spans="1:8">
      <c r="A25" s="30">
        <v>1</v>
      </c>
      <c r="B25" s="68" t="s">
        <v>41</v>
      </c>
      <c r="C25" s="25">
        <v>42775</v>
      </c>
      <c r="D25" s="105">
        <v>0.72361111111111109</v>
      </c>
      <c r="E25" s="26"/>
      <c r="F25" s="106">
        <v>0.78931712962962963</v>
      </c>
      <c r="G25" s="15">
        <v>94.616666666666703</v>
      </c>
      <c r="H25" s="67" t="s">
        <v>140</v>
      </c>
    </row>
    <row r="26" spans="1:8">
      <c r="A26" s="29">
        <v>1</v>
      </c>
      <c r="B26" s="24" t="s">
        <v>40</v>
      </c>
      <c r="C26" s="25">
        <v>42773</v>
      </c>
      <c r="D26" s="105">
        <v>0.58159722222222221</v>
      </c>
      <c r="E26" s="26"/>
      <c r="F26" s="106">
        <v>0.66502314814814811</v>
      </c>
      <c r="G26" s="15">
        <v>120.1333333333333</v>
      </c>
      <c r="H26" s="15" t="s">
        <v>139</v>
      </c>
    </row>
    <row r="27" spans="1:8">
      <c r="A27" s="29">
        <v>1</v>
      </c>
      <c r="B27" s="24" t="s">
        <v>40</v>
      </c>
      <c r="C27" s="25">
        <v>42779</v>
      </c>
      <c r="D27" s="107">
        <v>0.38895833333333335</v>
      </c>
      <c r="E27" s="26"/>
      <c r="F27" s="108">
        <v>0.43289351851851854</v>
      </c>
      <c r="G27" s="15">
        <v>63.266666666666673</v>
      </c>
      <c r="H27" s="16" t="s">
        <v>141</v>
      </c>
    </row>
    <row r="28" spans="1:8">
      <c r="A28" s="29">
        <v>1</v>
      </c>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63</v>
      </c>
      <c r="C1" s="4" t="s">
        <v>64</v>
      </c>
      <c r="D1" s="5"/>
      <c r="E1" s="4" t="s">
        <v>65</v>
      </c>
      <c r="F1" s="5"/>
      <c r="G1" s="4" t="s">
        <v>66</v>
      </c>
      <c r="H1" s="5"/>
      <c r="I1" s="4" t="s">
        <v>67</v>
      </c>
      <c r="J1" s="5"/>
      <c r="K1" s="4" t="s">
        <v>68</v>
      </c>
      <c r="L1" s="5"/>
      <c r="M1" s="4" t="s">
        <v>69</v>
      </c>
      <c r="N1" s="5"/>
      <c r="O1" s="4" t="s">
        <v>70</v>
      </c>
      <c r="P1" s="5"/>
      <c r="Q1" s="4" t="s">
        <v>71</v>
      </c>
      <c r="R1" s="5"/>
      <c r="S1" s="4" t="s">
        <v>72</v>
      </c>
      <c r="T1" s="5"/>
      <c r="U1" s="4"/>
      <c r="V1" s="5"/>
      <c r="W1" s="7" t="s">
        <v>73</v>
      </c>
      <c r="X1" s="7" t="s">
        <v>74</v>
      </c>
      <c r="Z1" s="9" t="s">
        <v>75</v>
      </c>
      <c r="AA1" s="9" t="s">
        <v>75</v>
      </c>
      <c r="AC1" s="9" t="s">
        <v>76</v>
      </c>
      <c r="AE1" s="9" t="s">
        <v>77</v>
      </c>
    </row>
    <row r="2" spans="1:31">
      <c r="A2" s="3">
        <v>1</v>
      </c>
      <c r="B2" s="3" t="s">
        <v>78</v>
      </c>
      <c r="C2" s="3" t="s">
        <v>67</v>
      </c>
      <c r="E2" s="3" t="s">
        <v>67</v>
      </c>
      <c r="G2" s="3" t="s">
        <v>40</v>
      </c>
      <c r="I2" s="3" t="s">
        <v>40</v>
      </c>
      <c r="K2" s="3" t="s">
        <v>40</v>
      </c>
      <c r="M2" s="3" t="s">
        <v>40</v>
      </c>
      <c r="O2" s="3" t="s">
        <v>40</v>
      </c>
      <c r="Q2" s="3" t="s">
        <v>40</v>
      </c>
      <c r="S2" s="3" t="s">
        <v>40</v>
      </c>
      <c r="W2" s="8">
        <v>10</v>
      </c>
      <c r="X2" s="8" t="s">
        <v>79</v>
      </c>
      <c r="Z2" s="3" t="s">
        <v>80</v>
      </c>
      <c r="AA2" s="3" t="s">
        <v>81</v>
      </c>
      <c r="AC2" s="3" t="s">
        <v>82</v>
      </c>
      <c r="AE2" s="3" t="s">
        <v>83</v>
      </c>
    </row>
    <row r="3" spans="1:31">
      <c r="A3" s="3">
        <v>2</v>
      </c>
      <c r="B3" s="3" t="s">
        <v>84</v>
      </c>
      <c r="C3" s="3" t="s">
        <v>68</v>
      </c>
      <c r="E3" s="3" t="s">
        <v>68</v>
      </c>
      <c r="G3" s="3" t="s">
        <v>41</v>
      </c>
      <c r="I3" s="3" t="s">
        <v>85</v>
      </c>
      <c r="K3" s="3" t="s">
        <v>85</v>
      </c>
      <c r="M3" s="3" t="s">
        <v>85</v>
      </c>
      <c r="O3" s="3" t="s">
        <v>85</v>
      </c>
      <c r="Q3" s="3" t="s">
        <v>85</v>
      </c>
      <c r="S3" s="3" t="s">
        <v>85</v>
      </c>
      <c r="W3" s="8">
        <v>20</v>
      </c>
      <c r="X3" s="8" t="s">
        <v>86</v>
      </c>
      <c r="Z3" s="3" t="s">
        <v>87</v>
      </c>
      <c r="AA3" s="3" t="s">
        <v>88</v>
      </c>
      <c r="AC3" s="3" t="s">
        <v>89</v>
      </c>
      <c r="AE3" s="3" t="s">
        <v>90</v>
      </c>
    </row>
    <row r="4" spans="1:31">
      <c r="A4" s="3">
        <v>3</v>
      </c>
      <c r="B4" s="3" t="s">
        <v>91</v>
      </c>
      <c r="C4" s="3" t="s">
        <v>69</v>
      </c>
      <c r="E4" s="3" t="s">
        <v>69</v>
      </c>
      <c r="G4" s="3" t="s">
        <v>42</v>
      </c>
      <c r="I4" s="3" t="s">
        <v>92</v>
      </c>
      <c r="K4" s="3" t="s">
        <v>92</v>
      </c>
      <c r="M4" s="3" t="s">
        <v>92</v>
      </c>
      <c r="O4" s="3" t="s">
        <v>92</v>
      </c>
      <c r="Q4" s="3" t="s">
        <v>93</v>
      </c>
      <c r="S4" s="3" t="s">
        <v>93</v>
      </c>
      <c r="W4" s="8">
        <v>30</v>
      </c>
      <c r="X4" s="8" t="s">
        <v>94</v>
      </c>
      <c r="Z4" s="3" t="s">
        <v>95</v>
      </c>
      <c r="AA4" s="3" t="s">
        <v>96</v>
      </c>
      <c r="AC4" s="3" t="s">
        <v>97</v>
      </c>
      <c r="AE4" s="3" t="s">
        <v>80</v>
      </c>
    </row>
    <row r="5" spans="1:31">
      <c r="A5" s="3">
        <v>4</v>
      </c>
      <c r="B5" s="3" t="s">
        <v>98</v>
      </c>
      <c r="C5" s="3" t="s">
        <v>70</v>
      </c>
      <c r="E5" s="3" t="s">
        <v>70</v>
      </c>
      <c r="G5" s="3" t="s">
        <v>43</v>
      </c>
      <c r="I5" s="3" t="s">
        <v>99</v>
      </c>
      <c r="K5" s="3" t="s">
        <v>99</v>
      </c>
      <c r="M5" s="3" t="s">
        <v>99</v>
      </c>
      <c r="O5" s="3" t="s">
        <v>99</v>
      </c>
      <c r="Q5" s="3" t="s">
        <v>92</v>
      </c>
      <c r="S5" s="3" t="s">
        <v>92</v>
      </c>
      <c r="W5" s="8">
        <v>40</v>
      </c>
      <c r="X5" s="8" t="s">
        <v>63</v>
      </c>
      <c r="Z5" s="3" t="s">
        <v>100</v>
      </c>
      <c r="AA5" s="3" t="s">
        <v>101</v>
      </c>
      <c r="AC5" s="3" t="s">
        <v>100</v>
      </c>
      <c r="AE5" s="3" t="s">
        <v>87</v>
      </c>
    </row>
    <row r="6" spans="1:31">
      <c r="A6" s="3">
        <v>5</v>
      </c>
      <c r="B6" s="3" t="s">
        <v>102</v>
      </c>
      <c r="C6" s="3" t="s">
        <v>71</v>
      </c>
      <c r="E6" s="3" t="s">
        <v>71</v>
      </c>
      <c r="G6" s="3" t="s">
        <v>44</v>
      </c>
      <c r="I6" s="3" t="s">
        <v>103</v>
      </c>
      <c r="K6" s="3" t="s">
        <v>103</v>
      </c>
      <c r="M6" s="3" t="s">
        <v>103</v>
      </c>
      <c r="O6" s="3" t="s">
        <v>103</v>
      </c>
      <c r="Q6" s="3" t="s">
        <v>104</v>
      </c>
      <c r="S6" s="3" t="s">
        <v>104</v>
      </c>
      <c r="W6" s="8">
        <v>50</v>
      </c>
      <c r="X6" s="8" t="s">
        <v>105</v>
      </c>
      <c r="Z6" s="3" t="s">
        <v>89</v>
      </c>
      <c r="AA6" s="3" t="s">
        <v>106</v>
      </c>
      <c r="AC6" s="3" t="s">
        <v>107</v>
      </c>
    </row>
    <row r="7" spans="1:31">
      <c r="A7" s="3">
        <v>6</v>
      </c>
      <c r="B7" s="3" t="s">
        <v>108</v>
      </c>
      <c r="C7" s="3" t="s">
        <v>72</v>
      </c>
      <c r="E7" s="3" t="s">
        <v>72</v>
      </c>
      <c r="G7" s="3" t="s">
        <v>45</v>
      </c>
      <c r="I7" s="3" t="s">
        <v>109</v>
      </c>
      <c r="K7" s="3" t="s">
        <v>109</v>
      </c>
      <c r="M7" s="3" t="s">
        <v>109</v>
      </c>
      <c r="O7" s="3" t="s">
        <v>109</v>
      </c>
      <c r="Q7" s="3" t="s">
        <v>99</v>
      </c>
      <c r="S7" s="3" t="s">
        <v>99</v>
      </c>
      <c r="W7" s="8">
        <v>60</v>
      </c>
      <c r="X7" s="8" t="s">
        <v>110</v>
      </c>
      <c r="Z7" s="3" t="s">
        <v>111</v>
      </c>
      <c r="AA7" s="3" t="s">
        <v>112</v>
      </c>
    </row>
    <row r="8" spans="1:31">
      <c r="A8" s="3">
        <v>7</v>
      </c>
      <c r="B8" s="3" t="s">
        <v>113</v>
      </c>
      <c r="C8" s="3" t="s">
        <v>72</v>
      </c>
      <c r="G8" s="3" t="s">
        <v>46</v>
      </c>
      <c r="Q8" s="3" t="s">
        <v>103</v>
      </c>
      <c r="S8" s="3" t="s">
        <v>103</v>
      </c>
      <c r="W8" s="8">
        <v>70</v>
      </c>
      <c r="X8" s="8" t="s">
        <v>88</v>
      </c>
    </row>
    <row r="9" spans="1:31">
      <c r="A9" s="3">
        <v>8</v>
      </c>
      <c r="B9" s="3" t="s">
        <v>114</v>
      </c>
      <c r="C9" s="3" t="s">
        <v>72</v>
      </c>
      <c r="G9" s="3" t="s">
        <v>47</v>
      </c>
      <c r="Q9" s="3" t="s">
        <v>109</v>
      </c>
      <c r="S9" s="3" t="s">
        <v>109</v>
      </c>
      <c r="W9" s="8">
        <v>80</v>
      </c>
      <c r="X9" s="8" t="s">
        <v>115</v>
      </c>
    </row>
    <row r="10" spans="1:31">
      <c r="G10" s="3" t="s">
        <v>48</v>
      </c>
      <c r="W10" s="8">
        <v>90</v>
      </c>
      <c r="X10" s="8" t="s">
        <v>116</v>
      </c>
    </row>
    <row r="11" spans="1:31">
      <c r="W11" s="8">
        <v>100</v>
      </c>
      <c r="X11" s="8" t="s">
        <v>117</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118</v>
      </c>
      <c r="J3" s="1" t="s">
        <v>119</v>
      </c>
    </row>
    <row r="5" spans="1:10">
      <c r="A5" s="2"/>
      <c r="B5" s="2"/>
    </row>
    <row r="21" spans="1:1">
      <c r="A21" s="1" t="s">
        <v>120</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Luis Fernando Gomez Alejandre</cp:lastModifiedBy>
  <cp:revision/>
  <dcterms:created xsi:type="dcterms:W3CDTF">1997-09-28T05:27:00Z</dcterms:created>
  <dcterms:modified xsi:type="dcterms:W3CDTF">2017-02-13T16:26:15Z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
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668" codeName="{C74EF38D-198D-F2B1-A963-D0AE11F4D965}"/>
  <workbookPr codeName="ThisWorkbook"/>
  <mc:AlternateContent xmlns:mc="http://schemas.openxmlformats.org/markup-compatibility/2006">
    <mc:Choice Requires="x15">
      <x15ac:absPath xmlns:x15ac="http://schemas.microsoft.com/office/spreadsheetml/2010/11/ac" url="C:\Users\gerar\Desktop\PSP's\"/>
    </mc:Choice>
  </mc:AlternateContent>
  <bookViews>
    <workbookView xWindow="0" yWindow="0" windowWidth="20490" windowHeight="7620"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<sst xmlns="http://schemas.openxmlformats.org/spreadsheetml/2006/main" count="212" uniqueCount="130">
  <si>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</si>
  <si>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</si>
  <si>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</si>
  <si>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</si>
  <si>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</si>
  <si>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</si>
  <si>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</si>
  <si>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</si>
  <si>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</si>
  <si>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</si>
  <si>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</si>
  <si>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</si>
  <si>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</si>
  <si>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</si>
  <si>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</si>
  <si>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</si>
  <si>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</si>
  <si>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</si>
  <si>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</si>
  <si>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</si>
  <si>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</si>
  <si>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</si>
  <si>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</si>
  <si>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</si>
  <si>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</si>
  <si>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</si>
  <si>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Mares Solano Francisco Gerardo</t>
  </si>
  <si>
    <t>Date</t>
  </si>
  <si>
    <t>Project</t>
  </si>
  <si>
    <t>BIBLIOTECA</t>
  </si>
  <si>
    <t>Program#</t>
  </si>
  <si>
    <t>Instructor</t>
  </si>
  <si>
    <t>Maria de los Angeles Guerrero Navarro</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</si>
  <si>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</si>
  <si>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</si>
  <si>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</si>
  <si>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</si>
  <si>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</si>
  <si>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</si>
  <si>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</si>
  <si>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</si>
  <si>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</si>
  <si>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</si>
  <si>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</si>
  <si>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</si>
  <si>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</si>
  <si>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</si>
  <si>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</si>
  <si>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</si>
  <si>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</si>
  <si>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</si>
  <si>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</si>
  <si>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</si>
  <si>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</si>
  <si>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</si>
  <si>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</si>
  <si>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</si>
  <si>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</si>
  <si>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</si>
  <si>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</si>
  <si>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</si>
  <si>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</si>
  <si>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</si>
  <si>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</si>
  <si>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</si>
  <si>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</si>
  <si>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</si>
  <si>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</si>
  <si>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</si>
  <si>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</si>
  <si>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</si>
  <si>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</si>
  <si>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</si>
  <si>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</si>
  <si>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</si>
  <si>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</si>
  <si>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</si>
  <si>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</si>
  <si>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</si>
  <si>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</si>
  <si>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</si>
  <si>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</si>
  <si>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</si>
  <si>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</si>
  <si>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</si>
  <si>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</si>
  <si>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</si>
  <si>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</si>
  <si>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</si>
  <si>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</si>
  <si>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</si>
  <si>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</si>
  <si>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</si>
  <si>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</si>
  <si>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</si>
  <si>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</si>
  <si>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</si>
  <si>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</si>
  <si>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</si>
  <si>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</si>
  <si>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</si>
  <si>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</si>
  <si>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</si>
  <si>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</si>
  <si>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</si>
  <si>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</si>
  <si>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</si>
  <si>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</si>
  <si>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</si>
  <si>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</si>
  <si>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</si>
  <si>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</si>
  <si>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</si>
  <si>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</si>
  <si>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</si>
  <si>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</si>
  <si>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</si>
  <si>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</si>
  <si>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</si>
  <si>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18 de abril de 2016</t>
  </si>
  <si>
    <t>Investigación sobre iText, JavaFX y otro frameworks</t>
  </si>
  <si>
    <t>Aprendizaje de JavaFX e instalación de Balsamic</t>
  </si>
  <si>
    <t>Llenado de la parte 1 del ERS</t>
  </si>
  <si>
    <t>Análisis de los CU iniciales</t>
  </si>
  <si>
    <t>Revisión de los CU</t>
  </si>
  <si>
    <t>Agregando los CU al ERS</t>
  </si>
  <si>
    <t>Protipado en Balsamic</t>
  </si>
  <si>
    <t>Ajuste de prototipos y revisión de ERS</t>
  </si>
  <si>
    <t>Mejora de prototipos</t>
  </si>
  <si>
    <t>Correción del ERS, prototipos y primera versión del modelo de dominio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</si>
</sst>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3">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b/>
      <sz val="9"/>
      <name val="Arial"/>
      <family val="2"/>
    </font>
    <font>
      <sz val="8"/>
      <name val="Arial"/>
      <family val="2"/>
    </font>
    <font>
      <u/>
      <sz val="10"/>
      <name val="Arial"/>
      <family val="2"/>
    </font>
    <font>
      <b/>
      <sz val="10"/>
      <name val="Arial"/>
      <family val="2"/>
    </font>
  </fonts>
  <fills count="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
      <patternFill patternType="solid">
        <fgColor rgb="FF92D050"/>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102">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19" fillId="1" borderId="2" xfId="1" applyNumberFormat="1" applyFont="1" applyFill="1" applyBorder="1" applyProtection="1">
      <protection locked="0"/>
    </xf>
    <xf numFmtId="166" fontId="20" fillId="0" borderId="0" xfId="8" applyNumberFormat="1" applyFont="1" applyFill="1" applyProtection="1">
      <protection locked="0"/>
    </xf>
    <xf numFmtId="0" fontId="20" fillId="0" borderId="0" xfId="0" applyFont="1" applyProtection="1">
      <protection locked="0"/>
    </xf>
    <xf numFmtId="0" fontId="21" fillId="0" borderId="0" xfId="1" applyFont="1" applyProtection="1"/>
    <xf numFmtId="0" fontId="22" fillId="1" borderId="2" xfId="1" applyFont="1" applyFill="1" applyBorder="1" applyProtection="1">
      <protection locked="0"/>
    </xf>
    <xf numFmtId="164" fontId="2" fillId="5" borderId="0" xfId="6" applyNumberFormat="1" applyFont="1" applyFill="1" applyProtection="1">
      <protection locked="0"/>
    </xf>
    <xf numFmtId="166" fontId="2" fillId="5" borderId="0" xfId="6" applyNumberFormat="1" applyFont="1" applyFill="1" applyProtection="1">
      <protection locked="0"/>
    </xf>
    <xf numFmtId="166" fontId="2" fillId="5"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0" fillId="0" borderId="0" xfId="6" applyNumberFormat="1" applyFont="1" applyProtection="1">
      <protection locked="0"/>
    </xf>
    <xf numFmtId="21" fontId="2" fillId="0" borderId="0" xfId="8" applyNumberFormat="1" applyFont="1" applyFill="1" applyProtection="1">
      <protection locked="0"/>
    </xf>
    <xf numFmtId="0" fontId="20" fillId="0" borderId="0" xfId="8" applyFont="1" applyFill="1" applyProtection="1">
      <protection locked="0"/>
    </xf>
    <xf numFmtId="1" fontId="2" fillId="5" borderId="0" xfId="0" applyNumberFormat="1" applyFont="1" applyFill="1" applyProtection="1">
      <protection locked="0"/>
    </xf>
    <xf numFmtId="0" fontId="20" fillId="5" borderId="0" xfId="0" applyFont="1" applyFill="1" applyProtection="1">
      <protection locked="0"/>
    </xf>
    <xf numFmtId="21" fontId="2" fillId="5" borderId="0" xfId="6" applyNumberFormat="1" applyFont="1" applyFill="1" applyProtection="1">
      <protection locked="0"/>
    </xf>
    <xf numFmtId="21" fontId="2" fillId="5" borderId="0" xfId="8" applyNumberFormat="1" applyFont="1" applyFill="1" applyProtection="1">
      <protection locked="0"/>
    </xf>
    <xf numFmtId="0" fontId="20" fillId="5" borderId="0" xfId="8"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2" defaultPivotStyle="PivotStyleLight16">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election activeCell="A32" sqref="A32"/>
    </sheetView>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0"/>
  <sheetViews>
    <sheetView showGridLines="0" workbookViewId="0">
      <selection activeCell="G10" sqref="G10"/>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8.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8" ht="12" customHeight="1">
      <c r="A1" s="35"/>
      <c r="B1" s="35"/>
    </row>
    <row r="2" spans="1:18">
      <c r="A2" s="36">
        <v>1</v>
      </c>
      <c r="B2" s="36"/>
      <c r="C2" s="37" t="s">
        <v>24</v>
      </c>
      <c r="D2" s="37"/>
      <c r="E2" s="38"/>
      <c r="F2" s="38"/>
      <c r="G2" s="37"/>
      <c r="H2" s="38"/>
      <c r="I2" s="37"/>
      <c r="J2" s="38"/>
      <c r="K2" s="37"/>
    </row>
    <row r="4" spans="1:18">
      <c r="C4" s="33" t="s">
        <v>25</v>
      </c>
      <c r="D4" s="66" t="s">
        <v>26</v>
      </c>
      <c r="E4" s="39"/>
      <c r="I4" s="33" t="s">
        <v>27</v>
      </c>
      <c r="K4" s="66" t="s">
        <v>119</v>
      </c>
    </row>
    <row r="5" spans="1:18">
      <c r="C5" s="33" t="s">
        <v>28</v>
      </c>
      <c r="D5" s="39" t="s">
        <v>29</v>
      </c>
      <c r="E5" s="39"/>
      <c r="I5" s="33" t="s">
        <v>30</v>
      </c>
      <c r="K5" s="70">
        <v>1</v>
      </c>
    </row>
    <row r="6" spans="1:18">
      <c r="C6" s="33" t="s">
        <v>31</v>
      </c>
      <c r="D6" s="66" t="s">
        <v>32</v>
      </c>
      <c r="E6" s="39"/>
      <c r="I6" s="33" t="s">
        <v>33</v>
      </c>
      <c r="K6" s="50" t="s">
        <v>34</v>
      </c>
    </row>
    <row r="7" spans="1:18">
      <c r="R7" s="69"/>
    </row>
    <row r="8" spans="1:18">
      <c r="E8" s="40" t="s">
        <v>35</v>
      </c>
      <c r="G8" s="41" t="s">
        <v>36</v>
      </c>
      <c r="I8" s="41" t="s">
        <v>37</v>
      </c>
      <c r="K8" s="41" t="s">
        <v>38</v>
      </c>
      <c r="M8" s="41" t="s">
        <v>39</v>
      </c>
      <c r="O8" s="41" t="s">
        <v>40</v>
      </c>
    </row>
    <row r="9" spans="1:18">
      <c r="C9" s="41" t="s">
        <v>41</v>
      </c>
      <c r="E9" s="42"/>
      <c r="F9" s="42"/>
    </row>
    <row r="10" spans="1:18">
      <c r="B10" s="43" t="s">
        <v>42</v>
      </c>
      <c r="C10" s="44" t="s">
        <v>43</v>
      </c>
      <c r="E10" s="42"/>
      <c r="F10" s="42"/>
      <c r="G10" s="45">
        <v>800</v>
      </c>
      <c r="H10" s="42"/>
      <c r="I10" s="45"/>
      <c r="J10" s="42"/>
      <c r="K10" s="45"/>
      <c r="L10" s="51"/>
      <c r="M10" s="45"/>
      <c r="O10" s="52">
        <f>SUM(G10:M10)</f>
        <v>800</v>
      </c>
    </row>
    <row r="11" spans="1:18">
      <c r="B11" s="43" t="s">
        <v>42</v>
      </c>
      <c r="C11" s="44" t="s">
        <v>44</v>
      </c>
      <c r="E11" s="42"/>
      <c r="F11" s="42"/>
      <c r="G11" s="45"/>
      <c r="H11" s="42"/>
      <c r="I11" s="45">
        <v>1200</v>
      </c>
      <c r="J11" s="42"/>
      <c r="K11" s="45"/>
      <c r="L11" s="51"/>
      <c r="M11" s="45"/>
      <c r="O11" s="52">
        <f t="shared" ref="O11:O18" si="0">SUM(G11:M11)</f>
        <v>1200</v>
      </c>
    </row>
    <row r="12" spans="1:18">
      <c r="C12" s="46" t="s">
        <v>45</v>
      </c>
      <c r="E12" s="42"/>
      <c r="F12" s="42"/>
      <c r="G12" s="45"/>
      <c r="H12" s="42"/>
      <c r="I12" s="45">
        <v>300</v>
      </c>
      <c r="J12" s="42"/>
      <c r="K12" s="45">
        <v>1200</v>
      </c>
      <c r="L12" s="51"/>
      <c r="M12" s="45"/>
      <c r="O12" s="52">
        <f t="shared" si="0"/>
        <v>1500</v>
      </c>
    </row>
    <row r="13" spans="1:18">
      <c r="B13" s="43" t="s">
        <v>42</v>
      </c>
      <c r="C13" s="44" t="s">
        <v>46</v>
      </c>
      <c r="E13" s="42"/>
      <c r="F13" s="42"/>
      <c r="G13" s="45"/>
      <c r="H13" s="42"/>
      <c r="I13" s="45"/>
      <c r="J13" s="42"/>
      <c r="K13" s="45"/>
      <c r="L13" s="51"/>
      <c r="M13" s="45"/>
      <c r="O13" s="52">
        <f t="shared" si="0"/>
        <v>0</v>
      </c>
    </row>
    <row r="14" spans="1:18">
      <c r="C14" s="46" t="s">
        <v>47</v>
      </c>
      <c r="E14" s="42"/>
      <c r="F14" s="42"/>
      <c r="G14" s="45"/>
      <c r="H14" s="42"/>
      <c r="I14" s="45"/>
      <c r="J14" s="42"/>
      <c r="K14" s="45"/>
      <c r="L14" s="51"/>
      <c r="M14" s="45"/>
      <c r="O14" s="52">
        <f t="shared" si="0"/>
        <v>0</v>
      </c>
    </row>
    <row r="15" spans="1:18">
      <c r="C15" s="46" t="s">
        <v>48</v>
      </c>
      <c r="E15" s="42"/>
      <c r="F15" s="42"/>
      <c r="G15" s="45"/>
      <c r="H15" s="42"/>
      <c r="I15" s="45"/>
      <c r="J15" s="42"/>
      <c r="K15" s="45"/>
      <c r="L15" s="51"/>
      <c r="M15" s="45"/>
      <c r="O15" s="52">
        <f t="shared" si="0"/>
        <v>0</v>
      </c>
    </row>
    <row r="16" spans="1:18">
      <c r="B16" s="43" t="s">
        <v>42</v>
      </c>
      <c r="C16" s="44" t="s">
        <v>49</v>
      </c>
      <c r="E16" s="42"/>
      <c r="F16" s="42"/>
      <c r="G16" s="45"/>
      <c r="H16" s="42"/>
      <c r="I16" s="45"/>
      <c r="J16" s="42"/>
      <c r="K16" s="45"/>
      <c r="L16" s="51"/>
      <c r="M16" s="45"/>
      <c r="O16" s="52">
        <f t="shared" si="0"/>
        <v>0</v>
      </c>
    </row>
    <row r="17" spans="2:15">
      <c r="B17" s="43" t="s">
        <v>42</v>
      </c>
      <c r="C17" s="44" t="s">
        <v>50</v>
      </c>
      <c r="E17" s="42"/>
      <c r="F17" s="42"/>
      <c r="G17" s="45"/>
      <c r="H17" s="42"/>
      <c r="I17" s="45"/>
      <c r="J17" s="42"/>
      <c r="K17" s="45"/>
      <c r="L17" s="51"/>
      <c r="M17" s="45"/>
      <c r="O17" s="52">
        <f t="shared" si="0"/>
        <v>0</v>
      </c>
    </row>
    <row r="18" spans="2:15">
      <c r="C18" s="46" t="s">
        <v>51</v>
      </c>
      <c r="E18" s="42"/>
      <c r="F18" s="42"/>
      <c r="G18" s="45"/>
      <c r="H18" s="42"/>
      <c r="I18" s="45"/>
      <c r="J18" s="42"/>
      <c r="K18" s="45"/>
      <c r="L18" s="51"/>
      <c r="M18" s="45"/>
      <c r="O18" s="52">
        <f t="shared" si="0"/>
        <v>0</v>
      </c>
    </row>
    <row r="19" spans="2:15">
      <c r="C19" s="33" t="s">
        <v>52</v>
      </c>
      <c r="E19" s="45" t="s">
        <v>53</v>
      </c>
      <c r="F19" s="42"/>
      <c r="G19" s="47">
        <f>SUM(G10:G18)</f>
        <v>800</v>
      </c>
      <c r="H19" s="42"/>
      <c r="I19" s="47">
        <f>SUM(I10:I18)</f>
        <v>1500</v>
      </c>
      <c r="J19" s="42"/>
      <c r="K19" s="47">
        <f>SUM(K10:K18)</f>
        <v>1200</v>
      </c>
      <c r="L19" s="53"/>
      <c r="M19" s="47">
        <f>SUM(M10:M18)</f>
        <v>0</v>
      </c>
      <c r="O19" s="47">
        <f>SUM(O10:O18)</f>
        <v>3500</v>
      </c>
    </row>
    <row r="20" spans="2:15">
      <c r="G20" s="48"/>
      <c r="K20" s="54"/>
    </row>
    <row r="22" spans="2:15">
      <c r="B22" s="49" t="s">
        <v>54</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2" activePane="bottomLeft" state="frozenSplit"/>
      <selection pane="bottomLeft" activeCell="I4" sqref="I4"/>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28</v>
      </c>
      <c r="B1" s="19" t="s">
        <v>55</v>
      </c>
      <c r="C1" s="20" t="s">
        <v>27</v>
      </c>
      <c r="D1" s="21" t="s">
        <v>56</v>
      </c>
      <c r="E1" s="22" t="s">
        <v>57</v>
      </c>
      <c r="F1" s="21" t="s">
        <v>58</v>
      </c>
      <c r="G1" s="22" t="s">
        <v>59</v>
      </c>
      <c r="H1" s="19" t="s">
        <v>60</v>
      </c>
    </row>
    <row r="2" spans="1:8">
      <c r="A2" s="83">
        <v>1</v>
      </c>
      <c r="B2" s="84" t="s">
        <v>50</v>
      </c>
      <c r="C2" s="71">
        <v>42773</v>
      </c>
      <c r="D2" s="85">
        <v>0.9375</v>
      </c>
      <c r="E2" s="72">
        <v>5</v>
      </c>
      <c r="F2" s="86">
        <v>0.99930555555555556</v>
      </c>
      <c r="G2" s="73">
        <v>84</v>
      </c>
      <c r="H2" s="87" t="s">
        <v>120</v>
      </c>
    </row>
    <row r="3" spans="1:8">
      <c r="A3" s="30">
        <v>1</v>
      </c>
      <c r="B3" s="68" t="s">
        <v>50</v>
      </c>
      <c r="C3" s="25">
        <v>42773</v>
      </c>
      <c r="D3" s="90">
        <v>0.88755787037037026</v>
      </c>
      <c r="E3" s="26">
        <v>3</v>
      </c>
      <c r="F3" s="91">
        <v>0.9758796296296296</v>
      </c>
      <c r="G3" s="15">
        <v>124.18333333333345</v>
      </c>
      <c r="H3" s="67" t="s">
        <v>121</v>
      </c>
    </row>
    <row r="4" spans="1:8">
      <c r="A4" s="29">
        <v>1</v>
      </c>
      <c r="B4" s="24" t="s">
        <v>44</v>
      </c>
      <c r="C4" s="25">
        <v>42774</v>
      </c>
      <c r="D4" s="90">
        <v>0.60114583333333338</v>
      </c>
      <c r="E4" s="26">
        <v>20</v>
      </c>
      <c r="F4" s="91">
        <v>0.63848379629629626</v>
      </c>
      <c r="G4" s="15">
        <v>33.766666666666545</v>
      </c>
      <c r="H4" s="15" t="s">
        <v>123</v>
      </c>
    </row>
    <row r="5" spans="1:8">
      <c r="A5" s="29">
        <v>1</v>
      </c>
      <c r="B5" s="24" t="s">
        <v>44</v>
      </c>
      <c r="C5" s="25">
        <v>42775</v>
      </c>
      <c r="D5" s="92">
        <v>0.72285879629629635</v>
      </c>
      <c r="E5" s="26">
        <v>25</v>
      </c>
      <c r="F5" s="93">
        <v>0.78883101851851845</v>
      </c>
      <c r="G5" s="15">
        <v>69.999999999999829</v>
      </c>
      <c r="H5" s="67" t="s">
        <v>122</v>
      </c>
    </row>
    <row r="6" spans="1:8">
      <c r="A6" s="11">
        <v>1</v>
      </c>
      <c r="B6" s="12" t="s">
        <v>44</v>
      </c>
      <c r="C6" s="31">
        <v>42777</v>
      </c>
      <c r="D6" s="94">
        <v>0.55543981481481486</v>
      </c>
      <c r="E6" s="15">
        <v>35</v>
      </c>
      <c r="F6" s="95">
        <v>0.59486111111111117</v>
      </c>
      <c r="G6" s="15">
        <v>21.766666666666694</v>
      </c>
      <c r="H6" s="16" t="s">
        <v>124</v>
      </c>
    </row>
    <row r="7" spans="1:8">
      <c r="A7" s="11">
        <v>1</v>
      </c>
      <c r="B7" s="12" t="s">
        <v>44</v>
      </c>
      <c r="C7" s="31">
        <v>42779</v>
      </c>
      <c r="D7" s="95">
        <v>0.40094907407407404</v>
      </c>
      <c r="E7" s="15">
        <v>7</v>
      </c>
      <c r="F7" s="95">
        <v>0.42173611111111109</v>
      </c>
      <c r="G7" s="15">
        <v>22.933333333333351</v>
      </c>
      <c r="H7" s="16" t="s">
        <v>125</v>
      </c>
    </row>
    <row r="8" spans="1:8">
      <c r="A8" s="23">
        <v>1</v>
      </c>
      <c r="B8" s="24" t="s">
        <v>45</v>
      </c>
      <c r="C8" s="25">
        <v>42780</v>
      </c>
      <c r="D8" s="96">
        <v>0.55145833333333327</v>
      </c>
      <c r="E8" s="26">
        <v>25</v>
      </c>
      <c r="F8" s="97">
        <v>0.62072916666666667</v>
      </c>
      <c r="G8" s="15">
        <v>74.750000000000085</v>
      </c>
      <c r="H8" s="67" t="s">
        <v>126</v>
      </c>
    </row>
    <row r="9" spans="1:8">
      <c r="A9" s="11">
        <v>1</v>
      </c>
      <c r="B9" s="12" t="s">
        <v>45</v>
      </c>
      <c r="C9" s="31">
        <v>42780</v>
      </c>
      <c r="D9" s="98">
        <v>0.71769675925925924</v>
      </c>
      <c r="E9" s="15">
        <v>25</v>
      </c>
      <c r="F9" s="98">
        <v>0.79027777777777775</v>
      </c>
      <c r="G9" s="15">
        <v>79.516666666666652</v>
      </c>
      <c r="H9" s="16" t="s">
        <v>126</v>
      </c>
    </row>
    <row r="10" spans="1:8">
      <c r="A10" s="23">
        <v>1</v>
      </c>
      <c r="B10" s="24" t="s">
        <v>45</v>
      </c>
      <c r="C10" s="25">
        <v>42781</v>
      </c>
      <c r="D10" s="99">
        <v>0.48912037037037037</v>
      </c>
      <c r="E10" s="26">
        <v>15</v>
      </c>
      <c r="F10" s="100">
        <v>0.51413194444444443</v>
      </c>
      <c r="G10" s="15">
        <v>21.016666666666648</v>
      </c>
      <c r="H10" s="67" t="s">
        <v>127</v>
      </c>
    </row>
    <row r="11" spans="1:8">
      <c r="A11" s="23">
        <v>1</v>
      </c>
      <c r="B11" s="24" t="s">
        <v>45</v>
      </c>
      <c r="C11" s="25">
        <v>42781</v>
      </c>
      <c r="D11" s="99">
        <v>0.58803240740740736</v>
      </c>
      <c r="E11" s="26">
        <v>10</v>
      </c>
      <c r="F11" s="100">
        <v>0.61346064814814816</v>
      </c>
      <c r="G11" s="15">
        <v>26.616666666666742</v>
      </c>
      <c r="H11" s="15" t="s">
        <v>128</v>
      </c>
    </row>
    <row r="12" spans="1:8">
      <c r="A12" s="23">
        <v>1</v>
      </c>
      <c r="B12" s="24" t="s">
        <v>45</v>
      </c>
      <c r="C12" s="25">
        <v>42783</v>
      </c>
      <c r="D12" s="101">
        <v>0.49120370370370375</v>
      </c>
      <c r="E12" s="26">
        <v>4</v>
      </c>
      <c r="F12" s="101">
        <v>0.50402777777777774</v>
      </c>
      <c r="G12" s="15">
        <v>14.466666666666542</v>
      </c>
      <c r="H12" s="16" t="s">
        <v>129</v>
      </c>
    </row>
    <row r="14" spans="1:8">
      <c r="A14" s="23"/>
      <c r="B14" s="24"/>
      <c r="C14" s="25"/>
      <c r="D14" s="74"/>
      <c r="E14" s="26"/>
      <c r="F14" s="75"/>
    </row>
    <row r="15" spans="1:8">
      <c r="A15" s="23"/>
      <c r="B15" s="24"/>
      <c r="C15" s="25"/>
      <c r="D15" s="74"/>
      <c r="E15" s="26"/>
      <c r="F15" s="75"/>
      <c r="H15" s="15"/>
    </row>
    <row r="16" spans="1:8">
      <c r="A16" s="23"/>
      <c r="B16" s="24"/>
      <c r="C16" s="25"/>
      <c r="D16" s="76"/>
      <c r="E16" s="26"/>
      <c r="F16" s="77"/>
      <c r="H16" s="15"/>
    </row>
    <row r="17" spans="1:8">
      <c r="A17" s="23"/>
      <c r="B17" s="24"/>
      <c r="C17" s="25"/>
      <c r="D17" s="78"/>
      <c r="E17" s="26"/>
      <c r="F17" s="79"/>
      <c r="H17" s="15"/>
    </row>
    <row r="18" spans="1:8">
      <c r="A18" s="23"/>
      <c r="B18" s="24"/>
      <c r="C18" s="25"/>
      <c r="D18" s="78"/>
      <c r="E18" s="26"/>
      <c r="F18" s="79"/>
      <c r="H18" s="15"/>
    </row>
    <row r="23" spans="1:8">
      <c r="A23" s="29"/>
      <c r="B23" s="24"/>
      <c r="C23" s="25"/>
      <c r="D23" s="80"/>
      <c r="E23" s="26"/>
      <c r="F23" s="81"/>
      <c r="H23" s="82"/>
    </row>
    <row r="27" spans="1:8">
      <c r="A27" s="29"/>
      <c r="B27" s="24"/>
      <c r="C27" s="25"/>
      <c r="D27" s="88"/>
      <c r="E27" s="26"/>
      <c r="F27" s="89"/>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28</v>
      </c>
      <c r="B1" s="4" t="s">
        <v>61</v>
      </c>
      <c r="C1" s="4" t="s">
        <v>62</v>
      </c>
      <c r="D1" s="5"/>
      <c r="E1" s="4" t="s">
        <v>63</v>
      </c>
      <c r="F1" s="5"/>
      <c r="G1" s="4" t="s">
        <v>64</v>
      </c>
      <c r="H1" s="5"/>
      <c r="I1" s="4" t="s">
        <v>65</v>
      </c>
      <c r="J1" s="5"/>
      <c r="K1" s="4" t="s">
        <v>66</v>
      </c>
      <c r="L1" s="5"/>
      <c r="M1" s="4" t="s">
        <v>67</v>
      </c>
      <c r="N1" s="5"/>
      <c r="O1" s="4" t="s">
        <v>68</v>
      </c>
      <c r="P1" s="5"/>
      <c r="Q1" s="4" t="s">
        <v>69</v>
      </c>
      <c r="R1" s="5"/>
      <c r="S1" s="4" t="s">
        <v>70</v>
      </c>
      <c r="T1" s="5"/>
      <c r="U1" s="4"/>
      <c r="V1" s="5"/>
      <c r="W1" s="7" t="s">
        <v>71</v>
      </c>
      <c r="X1" s="7" t="s">
        <v>72</v>
      </c>
      <c r="Z1" s="9" t="s">
        <v>73</v>
      </c>
      <c r="AA1" s="9" t="s">
        <v>73</v>
      </c>
      <c r="AC1" s="9" t="s">
        <v>74</v>
      </c>
      <c r="AE1" s="9" t="s">
        <v>75</v>
      </c>
    </row>
    <row r="2" spans="1:31">
      <c r="A2" s="3">
        <v>1</v>
      </c>
      <c r="B2" s="3" t="s">
        <v>76</v>
      </c>
      <c r="C2" s="3" t="s">
        <v>65</v>
      </c>
      <c r="E2" s="3" t="s">
        <v>65</v>
      </c>
      <c r="G2" s="3" t="s">
        <v>43</v>
      </c>
      <c r="I2" s="3" t="s">
        <v>43</v>
      </c>
      <c r="K2" s="3" t="s">
        <v>43</v>
      </c>
      <c r="M2" s="3" t="s">
        <v>43</v>
      </c>
      <c r="O2" s="3" t="s">
        <v>43</v>
      </c>
      <c r="Q2" s="3" t="s">
        <v>43</v>
      </c>
      <c r="S2" s="3" t="s">
        <v>43</v>
      </c>
      <c r="W2" s="8">
        <v>10</v>
      </c>
      <c r="X2" s="8" t="s">
        <v>77</v>
      </c>
      <c r="Z2" s="3" t="s">
        <v>78</v>
      </c>
      <c r="AA2" s="3" t="s">
        <v>79</v>
      </c>
      <c r="AC2" s="3" t="s">
        <v>80</v>
      </c>
      <c r="AE2" s="3" t="s">
        <v>81</v>
      </c>
    </row>
    <row r="3" spans="1:31">
      <c r="A3" s="3">
        <v>2</v>
      </c>
      <c r="B3" s="3" t="s">
        <v>82</v>
      </c>
      <c r="C3" s="3" t="s">
        <v>66</v>
      </c>
      <c r="E3" s="3" t="s">
        <v>66</v>
      </c>
      <c r="G3" s="3" t="s">
        <v>44</v>
      </c>
      <c r="I3" s="3" t="s">
        <v>83</v>
      </c>
      <c r="K3" s="3" t="s">
        <v>83</v>
      </c>
      <c r="M3" s="3" t="s">
        <v>83</v>
      </c>
      <c r="O3" s="3" t="s">
        <v>83</v>
      </c>
      <c r="Q3" s="3" t="s">
        <v>83</v>
      </c>
      <c r="S3" s="3" t="s">
        <v>83</v>
      </c>
      <c r="W3" s="8">
        <v>20</v>
      </c>
      <c r="X3" s="8" t="s">
        <v>84</v>
      </c>
      <c r="Z3" s="3" t="s">
        <v>85</v>
      </c>
      <c r="AA3" s="3" t="s">
        <v>86</v>
      </c>
      <c r="AC3" s="3" t="s">
        <v>87</v>
      </c>
      <c r="AE3" s="3" t="s">
        <v>88</v>
      </c>
    </row>
    <row r="4" spans="1:31">
      <c r="A4" s="3">
        <v>3</v>
      </c>
      <c r="B4" s="3" t="s">
        <v>89</v>
      </c>
      <c r="C4" s="3" t="s">
        <v>67</v>
      </c>
      <c r="E4" s="3" t="s">
        <v>67</v>
      </c>
      <c r="G4" s="3" t="s">
        <v>45</v>
      </c>
      <c r="I4" s="3" t="s">
        <v>90</v>
      </c>
      <c r="K4" s="3" t="s">
        <v>90</v>
      </c>
      <c r="M4" s="3" t="s">
        <v>90</v>
      </c>
      <c r="O4" s="3" t="s">
        <v>90</v>
      </c>
      <c r="Q4" s="3" t="s">
        <v>91</v>
      </c>
      <c r="S4" s="3" t="s">
        <v>91</v>
      </c>
      <c r="W4" s="8">
        <v>30</v>
      </c>
      <c r="X4" s="8" t="s">
        <v>92</v>
      </c>
      <c r="Z4" s="3" t="s">
        <v>93</v>
      </c>
      <c r="AA4" s="3" t="s">
        <v>94</v>
      </c>
      <c r="AC4" s="3" t="s">
        <v>95</v>
      </c>
      <c r="AE4" s="3" t="s">
        <v>78</v>
      </c>
    </row>
    <row r="5" spans="1:31">
      <c r="A5" s="3">
        <v>4</v>
      </c>
      <c r="B5" s="3" t="s">
        <v>96</v>
      </c>
      <c r="C5" s="3" t="s">
        <v>68</v>
      </c>
      <c r="E5" s="3" t="s">
        <v>68</v>
      </c>
      <c r="G5" s="3" t="s">
        <v>46</v>
      </c>
      <c r="I5" s="3" t="s">
        <v>97</v>
      </c>
      <c r="K5" s="3" t="s">
        <v>97</v>
      </c>
      <c r="M5" s="3" t="s">
        <v>97</v>
      </c>
      <c r="O5" s="3" t="s">
        <v>97</v>
      </c>
      <c r="Q5" s="3" t="s">
        <v>90</v>
      </c>
      <c r="S5" s="3" t="s">
        <v>90</v>
      </c>
      <c r="W5" s="8">
        <v>40</v>
      </c>
      <c r="X5" s="8" t="s">
        <v>61</v>
      </c>
      <c r="Z5" s="3" t="s">
        <v>98</v>
      </c>
      <c r="AA5" s="3" t="s">
        <v>99</v>
      </c>
      <c r="AC5" s="3" t="s">
        <v>98</v>
      </c>
      <c r="AE5" s="3" t="s">
        <v>85</v>
      </c>
    </row>
    <row r="6" spans="1:31">
      <c r="A6" s="3">
        <v>5</v>
      </c>
      <c r="B6" s="3" t="s">
        <v>100</v>
      </c>
      <c r="C6" s="3" t="s">
        <v>69</v>
      </c>
      <c r="E6" s="3" t="s">
        <v>69</v>
      </c>
      <c r="G6" s="3" t="s">
        <v>47</v>
      </c>
      <c r="I6" s="3" t="s">
        <v>101</v>
      </c>
      <c r="K6" s="3" t="s">
        <v>101</v>
      </c>
      <c r="M6" s="3" t="s">
        <v>101</v>
      </c>
      <c r="O6" s="3" t="s">
        <v>101</v>
      </c>
      <c r="Q6" s="3" t="s">
        <v>102</v>
      </c>
      <c r="S6" s="3" t="s">
        <v>102</v>
      </c>
      <c r="W6" s="8">
        <v>50</v>
      </c>
      <c r="X6" s="8" t="s">
        <v>103</v>
      </c>
      <c r="Z6" s="3" t="s">
        <v>87</v>
      </c>
      <c r="AA6" s="3" t="s">
        <v>104</v>
      </c>
      <c r="AC6" s="3" t="s">
        <v>105</v>
      </c>
    </row>
    <row r="7" spans="1:31">
      <c r="A7" s="3">
        <v>6</v>
      </c>
      <c r="B7" s="3" t="s">
        <v>106</v>
      </c>
      <c r="C7" s="3" t="s">
        <v>70</v>
      </c>
      <c r="E7" s="3" t="s">
        <v>70</v>
      </c>
      <c r="G7" s="3" t="s">
        <v>48</v>
      </c>
      <c r="I7" s="3" t="s">
        <v>107</v>
      </c>
      <c r="K7" s="3" t="s">
        <v>107</v>
      </c>
      <c r="M7" s="3" t="s">
        <v>107</v>
      </c>
      <c r="O7" s="3" t="s">
        <v>107</v>
      </c>
      <c r="Q7" s="3" t="s">
        <v>97</v>
      </c>
      <c r="S7" s="3" t="s">
        <v>97</v>
      </c>
      <c r="W7" s="8">
        <v>60</v>
      </c>
      <c r="X7" s="8" t="s">
        <v>108</v>
      </c>
      <c r="Z7" s="3" t="s">
        <v>109</v>
      </c>
      <c r="AA7" s="3" t="s">
        <v>110</v>
      </c>
    </row>
    <row r="8" spans="1:31">
      <c r="A8" s="3">
        <v>7</v>
      </c>
      <c r="B8" s="3" t="s">
        <v>111</v>
      </c>
      <c r="C8" s="3" t="s">
        <v>70</v>
      </c>
      <c r="G8" s="3" t="s">
        <v>49</v>
      </c>
      <c r="Q8" s="3" t="s">
        <v>101</v>
      </c>
      <c r="S8" s="3" t="s">
        <v>101</v>
      </c>
      <c r="W8" s="8">
        <v>70</v>
      </c>
      <c r="X8" s="8" t="s">
        <v>86</v>
      </c>
    </row>
    <row r="9" spans="1:31">
      <c r="A9" s="3">
        <v>8</v>
      </c>
      <c r="B9" s="3" t="s">
        <v>112</v>
      </c>
      <c r="C9" s="3" t="s">
        <v>70</v>
      </c>
      <c r="G9" s="3" t="s">
        <v>50</v>
      </c>
      <c r="Q9" s="3" t="s">
        <v>107</v>
      </c>
      <c r="S9" s="3" t="s">
        <v>107</v>
      </c>
      <c r="W9" s="8">
        <v>80</v>
      </c>
      <c r="X9" s="8" t="s">
        <v>113</v>
      </c>
    </row>
    <row r="10" spans="1:31">
      <c r="G10" s="3" t="s">
        <v>51</v>
      </c>
      <c r="W10" s="8">
        <v>90</v>
      </c>
      <c r="X10" s="8" t="s">
        <v>114</v>
      </c>
    </row>
    <row r="11" spans="1:31">
      <c r="W11" s="8">
        <v>100</v>
      </c>
      <c r="X11" s="8" t="s">
        <v>115</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116</v>
      </c>
      <c r="J3" s="1" t="s">
        <v>117</v>
      </c>
    </row>
    <row r="5" spans="1:10">
      <c r="A5" s="2"/>
      <c r="B5" s="2"/>
    </row>
    <row r="21" spans="1:1">
      <c r="A21" s="1" t="s">
        <v>118</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Manager/>
  <Company>Software Engineering Institute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Unknown User</dc:creator>
  <cp:keywords/>
  <dc:description/>
  <cp:lastModifiedBy>Gerardo Mares</cp:lastModifiedBy>
  <cp:revision/>
  <dcterms:created xsi:type="dcterms:W3CDTF">1997-09-28T05:27:00Z</dcterms:created>
  <dcterms:modified xsi:type="dcterms:W3CDTF">2017-02-17T19:06:32Z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